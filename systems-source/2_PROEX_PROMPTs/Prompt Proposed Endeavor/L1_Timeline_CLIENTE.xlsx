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f43a2f8ffb58a109/Negócios/PROEX/L1 Organização/Kit documentos L1/"/>
    </mc:Choice>
  </mc:AlternateContent>
  <xr:revisionPtr revIDLastSave="944" documentId="13_ncr:1_{F271ABD9-6809-4739-A42C-DDC27FF52C85}" xr6:coauthVersionLast="47" xr6:coauthVersionMax="47" xr10:uidLastSave="{54196799-C169-4DD0-8F5A-E5F0290BCD50}"/>
  <bookViews>
    <workbookView xWindow="22932" yWindow="-108" windowWidth="23256" windowHeight="12456" xr2:uid="{00000000-000D-0000-FFFF-FFFF00000000}"/>
  </bookViews>
  <sheets>
    <sheet name="Planilh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" l="1"/>
  <c r="F5" i="2" s="1"/>
  <c r="G5" i="2" s="1"/>
  <c r="F6" i="2" s="1"/>
  <c r="G6" i="2" s="1"/>
  <c r="F7" i="2" s="1"/>
  <c r="G7" i="2" s="1"/>
  <c r="F8" i="2" s="1"/>
  <c r="G8" i="2" s="1"/>
  <c r="I4" i="2"/>
  <c r="H5" i="2" s="1"/>
  <c r="I5" i="2" s="1"/>
  <c r="H6" i="2" s="1"/>
  <c r="I6" i="2" s="1"/>
  <c r="H7" i="2" s="1"/>
  <c r="I7" i="2" s="1"/>
  <c r="H8" i="2" s="1"/>
  <c r="I8" i="2" s="1"/>
  <c r="H9" i="2" s="1"/>
  <c r="I9" i="2" s="1"/>
  <c r="J4" i="2" l="1"/>
  <c r="J7" i="2"/>
  <c r="H11" i="2"/>
  <c r="I11" i="2" s="1"/>
  <c r="J6" i="2"/>
  <c r="J8" i="2"/>
  <c r="H12" i="2"/>
  <c r="I12" i="2" s="1"/>
  <c r="J5" i="2"/>
  <c r="F9" i="2"/>
  <c r="G9" i="2" s="1"/>
  <c r="J9" i="2" s="1"/>
  <c r="H13" i="2" l="1"/>
  <c r="I13" i="2" s="1"/>
  <c r="H16" i="2"/>
  <c r="I16" i="2" s="1"/>
  <c r="H17" i="2"/>
  <c r="I17" i="2" s="1"/>
  <c r="H15" i="2"/>
  <c r="I15" i="2" s="1"/>
  <c r="H18" i="2"/>
  <c r="I18" i="2" s="1"/>
  <c r="H14" i="2"/>
  <c r="I14" i="2" s="1"/>
  <c r="F12" i="2"/>
  <c r="G12" i="2" s="1"/>
  <c r="J12" i="2" s="1"/>
  <c r="F11" i="2"/>
  <c r="G11" i="2" s="1"/>
  <c r="J11" i="2" s="1"/>
  <c r="H19" i="2" l="1"/>
  <c r="I19" i="2" s="1"/>
  <c r="H20" i="2" s="1"/>
  <c r="I20" i="2" s="1"/>
  <c r="H21" i="2" s="1"/>
  <c r="I21" i="2" s="1"/>
  <c r="H22" i="2" s="1"/>
  <c r="I22" i="2" s="1"/>
  <c r="H24" i="2" s="1"/>
  <c r="I24" i="2" s="1"/>
  <c r="H26" i="2" s="1"/>
  <c r="I26" i="2" s="1"/>
  <c r="F17" i="2"/>
  <c r="G17" i="2" s="1"/>
  <c r="J17" i="2" s="1"/>
  <c r="F16" i="2"/>
  <c r="G16" i="2" s="1"/>
  <c r="J16" i="2" s="1"/>
  <c r="F15" i="2"/>
  <c r="G15" i="2" s="1"/>
  <c r="J15" i="2" s="1"/>
  <c r="F13" i="2"/>
  <c r="G13" i="2" s="1"/>
  <c r="F18" i="2"/>
  <c r="G18" i="2" s="1"/>
  <c r="J18" i="2" s="1"/>
  <c r="F14" i="2"/>
  <c r="G14" i="2" s="1"/>
  <c r="J14" i="2" s="1"/>
  <c r="H23" i="2" l="1"/>
  <c r="I23" i="2" s="1"/>
  <c r="F19" i="2"/>
  <c r="G19" i="2" s="1"/>
  <c r="J13" i="2"/>
  <c r="F20" i="2" l="1"/>
  <c r="G20" i="2" s="1"/>
  <c r="F21" i="2" s="1"/>
  <c r="G21" i="2" s="1"/>
  <c r="F23" i="2"/>
  <c r="G23" i="2" s="1"/>
  <c r="F25" i="2" s="1"/>
  <c r="G25" i="2" s="1"/>
  <c r="F27" i="2" s="1"/>
  <c r="G27" i="2" s="1"/>
  <c r="J19" i="2"/>
  <c r="H25" i="2"/>
  <c r="I25" i="2" s="1"/>
  <c r="J20" i="2" l="1"/>
  <c r="J23" i="2"/>
  <c r="F22" i="2"/>
  <c r="G22" i="2" s="1"/>
  <c r="J21" i="2"/>
  <c r="H27" i="2"/>
  <c r="I27" i="2" s="1"/>
  <c r="J25" i="2"/>
  <c r="H29" i="2" l="1"/>
  <c r="I29" i="2" s="1"/>
  <c r="J27" i="2"/>
  <c r="F24" i="2"/>
  <c r="G24" i="2" s="1"/>
  <c r="J22" i="2"/>
  <c r="F26" i="2" l="1"/>
  <c r="G26" i="2" s="1"/>
  <c r="J24" i="2"/>
  <c r="H30" i="2"/>
  <c r="I30" i="2" s="1"/>
  <c r="H31" i="2" l="1"/>
  <c r="I31" i="2" s="1"/>
  <c r="F29" i="2"/>
  <c r="G29" i="2" s="1"/>
  <c r="J26" i="2"/>
  <c r="F30" i="2" l="1"/>
  <c r="G30" i="2" s="1"/>
  <c r="J29" i="2"/>
  <c r="H34" i="2"/>
  <c r="I34" i="2" s="1"/>
  <c r="H35" i="2" s="1"/>
  <c r="H33" i="2"/>
  <c r="I33" i="2" s="1"/>
  <c r="H36" i="2" l="1"/>
  <c r="I36" i="2" s="1"/>
  <c r="F31" i="2"/>
  <c r="G31" i="2" s="1"/>
  <c r="J30" i="2"/>
  <c r="F33" i="2" l="1"/>
  <c r="G33" i="2" s="1"/>
  <c r="F34" i="2"/>
  <c r="G34" i="2" s="1"/>
  <c r="F35" i="2" s="1"/>
  <c r="J31" i="2"/>
  <c r="I35" i="2"/>
  <c r="H37" i="2" l="1"/>
  <c r="I37" i="2" s="1"/>
  <c r="H38" i="2" s="1"/>
  <c r="J34" i="2"/>
  <c r="F36" i="2"/>
  <c r="G36" i="2" s="1"/>
  <c r="J33" i="2"/>
  <c r="J36" i="2" l="1"/>
  <c r="G35" i="2"/>
  <c r="I38" i="2"/>
  <c r="H39" i="2" l="1"/>
  <c r="I39" i="2" s="1"/>
  <c r="F37" i="2"/>
  <c r="G37" i="2" s="1"/>
  <c r="F38" i="2" s="1"/>
  <c r="J35" i="2"/>
  <c r="H40" i="2" l="1"/>
  <c r="I40" i="2" s="1"/>
  <c r="G38" i="2"/>
  <c r="J37" i="2"/>
  <c r="F39" i="2" l="1"/>
  <c r="G39" i="2" s="1"/>
  <c r="J38" i="2"/>
  <c r="H41" i="2"/>
  <c r="I41" i="2" s="1"/>
  <c r="H42" i="2" l="1"/>
  <c r="I42" i="2" s="1"/>
  <c r="F40" i="2"/>
  <c r="G40" i="2" s="1"/>
  <c r="J39" i="2"/>
  <c r="F41" i="2" l="1"/>
  <c r="G41" i="2" s="1"/>
  <c r="J40" i="2"/>
  <c r="H43" i="2"/>
  <c r="I43" i="2" s="1"/>
  <c r="H46" i="2" s="1"/>
  <c r="I46" i="2" s="1"/>
  <c r="H45" i="2" l="1"/>
  <c r="I45" i="2" s="1"/>
  <c r="H47" i="2" s="1"/>
  <c r="F42" i="2"/>
  <c r="G42" i="2" s="1"/>
  <c r="J41" i="2"/>
  <c r="F43" i="2" l="1"/>
  <c r="G43" i="2" s="1"/>
  <c r="F46" i="2" s="1"/>
  <c r="G46" i="2" s="1"/>
  <c r="J46" i="2" s="1"/>
  <c r="J42" i="2"/>
  <c r="I47" i="2"/>
  <c r="F45" i="2" l="1"/>
  <c r="G45" i="2" s="1"/>
  <c r="F47" i="2" s="1"/>
  <c r="J43" i="2"/>
  <c r="J45" i="2" l="1"/>
  <c r="G47" i="2"/>
  <c r="J47" i="2" s="1"/>
</calcChain>
</file>

<file path=xl/sharedStrings.xml><?xml version="1.0" encoding="utf-8"?>
<sst xmlns="http://schemas.openxmlformats.org/spreadsheetml/2006/main" count="89" uniqueCount="61">
  <si>
    <t>TIMELINE - DATAS PROCESSO</t>
  </si>
  <si>
    <t>CLIENTE</t>
  </si>
  <si>
    <t>RESPONSÁVEL</t>
  </si>
  <si>
    <t>INICIO DA MONTAGEM E REVISÃO DO PROCESSO</t>
  </si>
  <si>
    <t>ENTREGA/ENVIO DO PROCESSO PARA USCIS - IMIGRAÇÃO</t>
  </si>
  <si>
    <t>Criação do Grupo de WhatsApp.</t>
  </si>
  <si>
    <t>Follow-up do Comercial para passar o cliente.</t>
  </si>
  <si>
    <t>Adição do cliente no Grupo de WhatsApp.</t>
  </si>
  <si>
    <t>Reunião e explicação sobre os documentos e prospecção das evidências.</t>
  </si>
  <si>
    <t>Criação de um Checklist das potenciais evidências.</t>
  </si>
  <si>
    <t>Desenvolvimento do Business Plan.</t>
  </si>
  <si>
    <t>Desenvolvimento do Resume e Relatório Fotográfico.</t>
  </si>
  <si>
    <t>Desenvolvimento dos documentos adicionais.</t>
  </si>
  <si>
    <t>Revisão interna dos documentos adicionais.</t>
  </si>
  <si>
    <t>EQUIPE COMERCIAL</t>
  </si>
  <si>
    <t>CONSULTOR</t>
  </si>
  <si>
    <t>Finalização da coleta INICIAL de documentos do peticionário (empresas).</t>
  </si>
  <si>
    <t>Finalização da coleta INICIAL de documentos do Beneficiário.</t>
  </si>
  <si>
    <t>Revisão interna do Business Plan.</t>
  </si>
  <si>
    <t>COORDENADOR</t>
  </si>
  <si>
    <t>Revisão interna do Resume e Relatório Fotográfico</t>
  </si>
  <si>
    <t>Validação do Business Plan.</t>
  </si>
  <si>
    <t>Validação do Resume e Relatório Fotográfico.</t>
  </si>
  <si>
    <t>Validação dos documentos adicionais.</t>
  </si>
  <si>
    <t>Upload no Drive das evidências com tradução certificada</t>
  </si>
  <si>
    <t>Upload no Drive dos documentos desenvolvidos.</t>
  </si>
  <si>
    <t>Validação da Cover Letter</t>
  </si>
  <si>
    <t>Tradução da Cover Letter</t>
  </si>
  <si>
    <t>GPO</t>
  </si>
  <si>
    <t>GPO E CLIENTE</t>
  </si>
  <si>
    <t>DIAS</t>
  </si>
  <si>
    <t>Desenvolvimento do Sumário Executivo</t>
  </si>
  <si>
    <t>Validação do Sumário Executivo</t>
  </si>
  <si>
    <t>DATA DE INÍCIO</t>
  </si>
  <si>
    <t>DATA PREVISTA DE INÍCIO</t>
  </si>
  <si>
    <t>DATA DE CONCLUSÃO</t>
  </si>
  <si>
    <t>DATA PREVISTA DE CONCLUSÃO</t>
  </si>
  <si>
    <t>DIAS REAIS</t>
  </si>
  <si>
    <t>Envio do arquivo “Documentação necessária”, "Coleta de informações para lista de colaboradores", "Coleta de informações da empresa", Agendamento da reunião e Apontamento do Drive para o cliente subir os arquivos</t>
  </si>
  <si>
    <t>Organograma Brasil</t>
  </si>
  <si>
    <t>Contribuições significativas e relato de responsabilidades</t>
  </si>
  <si>
    <t>Relação de Colaboradores</t>
  </si>
  <si>
    <t>Declaração de Trabalho</t>
  </si>
  <si>
    <t>Declaração do contador com Resultados Financeiros da empresa brasileira</t>
  </si>
  <si>
    <t>ACOMPANHAMENTO</t>
  </si>
  <si>
    <t>Desenvolvimento da Cover Letter</t>
  </si>
  <si>
    <t>Revisão interna da Cover Letter</t>
  </si>
  <si>
    <t>Organização do Drive e das Evidências</t>
  </si>
  <si>
    <t>Tradução certificada dos documentos e evidências em português.</t>
  </si>
  <si>
    <t>Tradução dos documentos desenvolvidos.</t>
  </si>
  <si>
    <t>Validação do 1º Bloco de Documentos</t>
  </si>
  <si>
    <t>1º Bloco de documentos:</t>
  </si>
  <si>
    <t>Organização prévia do Drive e das Evidências, ajustes necessários e Sinalização dos documentos para tradução certificada para o cliente</t>
  </si>
  <si>
    <t>PREENCHIMENTO DOS FORMULÁRIOS</t>
  </si>
  <si>
    <t>GESTÃO DE CLIENTES</t>
  </si>
  <si>
    <t>Comunicação com a Análise Documental</t>
  </si>
  <si>
    <t>Fase 1: Onboarding, Alinhamento Inicial e Coleta Primária de Documentos</t>
  </si>
  <si>
    <t>Fase 2: Desenvolvimento do 1º Bloco Documental (Brasil) e Documentos Estratégicos Chave (EUA)</t>
  </si>
  <si>
    <t>Fase 3: Desenvolvimento de Documentos Complementares de Estratégia e Suporte (EUA) e Abertura da Empresa nos EUA</t>
  </si>
  <si>
    <t>Fase 4: Finalização Documental, Traduções e Cover Letter</t>
  </si>
  <si>
    <t xml:space="preserve">Fase 5: Montagem e Submissão (GPO)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</si>
</sst>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0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3A3363"/>
        <bgColor theme="9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DE2F6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164" fontId="2" fillId="2" borderId="3" xfId="0" applyNumberFormat="1" applyFont="1" applyFill="1" applyBorder="1" applyAlignment="1">
      <alignment horizontal="center" vertical="center" wrapText="1"/>
    </xf>
    <xf numFmtId="164" fontId="2" fillId="2" borderId="4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4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1" fillId="0" borderId="14" xfId="0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4" fillId="0" borderId="13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/>
    </xf>
    <xf numFmtId="164" fontId="4" fillId="0" borderId="14" xfId="0" applyNumberFormat="1" applyFont="1" applyBorder="1" applyAlignment="1">
      <alignment horizontal="center" vertical="center"/>
    </xf>
    <xf numFmtId="164" fontId="4" fillId="0" borderId="14" xfId="0" applyNumberFormat="1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 wrapText="1"/>
    </xf>
    <xf numFmtId="164" fontId="4" fillId="0" borderId="8" xfId="0" applyNumberFormat="1" applyFont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 wrapText="1"/>
    </xf>
    <xf numFmtId="0" fontId="1" fillId="4" borderId="5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left" vertical="center" wrapText="1"/>
    </xf>
    <xf numFmtId="0" fontId="1" fillId="5" borderId="1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 wrapText="1"/>
    </xf>
    <xf numFmtId="0" fontId="5" fillId="5" borderId="5" xfId="0" applyFont="1" applyFill="1" applyBorder="1" applyAlignment="1">
      <alignment horizontal="left" vertical="center" wrapText="1"/>
    </xf>
    <xf numFmtId="0" fontId="5" fillId="5" borderId="7" xfId="0" applyFont="1" applyFill="1" applyBorder="1" applyAlignment="1">
      <alignment horizontal="left" vertical="center" wrapText="1"/>
    </xf>
    <xf numFmtId="0" fontId="1" fillId="5" borderId="13" xfId="0" applyFont="1" applyFill="1" applyBorder="1" applyAlignment="1">
      <alignment horizontal="left" vertical="center" wrapText="1"/>
    </xf>
    <xf numFmtId="0" fontId="1" fillId="5" borderId="14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left" vertical="center" wrapText="1"/>
    </xf>
    <xf numFmtId="0" fontId="1" fillId="6" borderId="11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/>
    </xf>
    <xf numFmtId="0" fontId="1" fillId="8" borderId="10" xfId="0" applyFont="1" applyFill="1" applyBorder="1" applyAlignment="1">
      <alignment horizontal="left" vertical="center" wrapText="1"/>
    </xf>
    <xf numFmtId="0" fontId="1" fillId="8" borderId="11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6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3" fillId="9" borderId="16" xfId="0" applyFont="1" applyFill="1" applyBorder="1" applyAlignment="1">
      <alignment horizontal="center" vertical="center"/>
    </xf>
    <xf numFmtId="0" fontId="3" fillId="9" borderId="17" xfId="0" applyFont="1" applyFill="1" applyBorder="1" applyAlignment="1">
      <alignment horizontal="center" vertical="center"/>
    </xf>
    <xf numFmtId="0" fontId="3" fillId="9" borderId="18" xfId="0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EDE2F6"/>
        </patternFill>
      </fill>
    </dxf>
  </dxfs>
  <tableStyles count="0" defaultTableStyle="TableStyleMedium2" defaultPivotStyle="PivotStyleLight16"/>
  <colors>
    <mruColors>
      <color rgb="FFEDE2F6"/>
      <color rgb="FFF3D569"/>
      <color rgb="FF3A3363"/>
      <color rgb="FFC69F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1B88-345E-4185-BC94-EECDA6511CFE}">
  <sheetPr>
    <pageSetUpPr fitToPage="1"/>
  </sheetPr>
  <dimension ref="B1:J47"/>
  <sheetViews>
    <sheetView tabSelected="1" topLeftCell="A25" zoomScale="85" zoomScaleNormal="85" workbookViewId="0">
      <selection activeCell="D51" sqref="D51"/>
    </sheetView>
  </sheetViews>
  <sheetFormatPr defaultRowHeight="15" x14ac:dyDescent="0.25"/>
  <cols>
    <col min="2" max="2" width="66.28515625" bestFit="1" customWidth="1"/>
    <col min="3" max="3" width="23.7109375" bestFit="1" customWidth="1"/>
    <col min="4" max="4" width="9" customWidth="1"/>
    <col min="5" max="5" width="14.5703125" customWidth="1"/>
    <col min="6" max="6" width="15.42578125" bestFit="1" customWidth="1"/>
    <col min="7" max="7" width="18.7109375" bestFit="1" customWidth="1"/>
    <col min="8" max="8" width="12.5703125" bestFit="1" customWidth="1"/>
    <col min="9" max="9" width="15" bestFit="1" customWidth="1"/>
    <col min="10" max="10" width="24.42578125" bestFit="1" customWidth="1"/>
  </cols>
  <sheetData>
    <row r="1" spans="2:10" ht="15.75" thickBot="1" x14ac:dyDescent="0.3"/>
    <row r="2" spans="2:10" ht="42.75" x14ac:dyDescent="0.25">
      <c r="B2" s="4" t="s">
        <v>0</v>
      </c>
      <c r="C2" s="5" t="s">
        <v>2</v>
      </c>
      <c r="D2" s="6" t="s">
        <v>30</v>
      </c>
      <c r="E2" s="6" t="s">
        <v>37</v>
      </c>
      <c r="F2" s="7" t="s">
        <v>34</v>
      </c>
      <c r="G2" s="7" t="s">
        <v>36</v>
      </c>
      <c r="H2" s="7" t="s">
        <v>33</v>
      </c>
      <c r="I2" s="7" t="s">
        <v>35</v>
      </c>
      <c r="J2" s="8" t="s">
        <v>44</v>
      </c>
    </row>
    <row r="3" spans="2:10" ht="15.75" x14ac:dyDescent="0.25">
      <c r="B3" s="64" t="s">
        <v>56</v>
      </c>
      <c r="C3" s="65"/>
      <c r="D3" s="65"/>
      <c r="E3" s="65"/>
      <c r="F3" s="65"/>
      <c r="G3" s="65"/>
      <c r="H3" s="65"/>
      <c r="I3" s="65"/>
      <c r="J3" s="66"/>
    </row>
    <row r="4" spans="2:10" x14ac:dyDescent="0.25">
      <c r="B4" s="43" t="s">
        <v>5</v>
      </c>
      <c r="C4" s="44" t="s">
        <v>14</v>
      </c>
      <c r="D4" s="1">
        <v>0</v>
      </c>
      <c r="E4" s="27">
        <v>0</v>
      </c>
      <c r="F4" s="3">
        <v>45735</v>
      </c>
      <c r="G4" s="2">
        <f t="shared" ref="G4:G9" si="0">F4+D4</f>
        <v>45735</v>
      </c>
      <c r="H4" s="3">
        <v>45735</v>
      </c>
      <c r="I4" s="33">
        <f t="shared" ref="I4:I9" si="1">H4+E4</f>
        <v>45735</v>
      </c>
      <c r="J4" s="9" t="str">
        <f>IF(I4&gt;G4,"ATRASADO",IF(I4=G4,"EM DIA","ADIANTADO"))</f>
        <v>EM DIA</v>
      </c>
    </row>
    <row r="5" spans="2:10" x14ac:dyDescent="0.25">
      <c r="B5" s="43" t="s">
        <v>6</v>
      </c>
      <c r="C5" s="44" t="s">
        <v>14</v>
      </c>
      <c r="D5" s="1">
        <v>0</v>
      </c>
      <c r="E5" s="27">
        <v>0</v>
      </c>
      <c r="F5" s="2">
        <f>G4</f>
        <v>45735</v>
      </c>
      <c r="G5" s="2">
        <f t="shared" si="0"/>
        <v>45735</v>
      </c>
      <c r="H5" s="34">
        <f>I4</f>
        <v>45735</v>
      </c>
      <c r="I5" s="33">
        <f t="shared" si="1"/>
        <v>45735</v>
      </c>
      <c r="J5" s="9" t="str">
        <f t="shared" ref="J5:J47" si="2">IF(I5&gt;G5,"ATRASADO",IF(I5=G5,"EM DIA","ADIANTADO"))</f>
        <v>EM DIA</v>
      </c>
    </row>
    <row r="6" spans="2:10" x14ac:dyDescent="0.25">
      <c r="B6" s="43" t="s">
        <v>7</v>
      </c>
      <c r="C6" s="44" t="s">
        <v>14</v>
      </c>
      <c r="D6" s="1">
        <v>0</v>
      </c>
      <c r="E6" s="27">
        <v>0</v>
      </c>
      <c r="F6" s="2">
        <f>G5</f>
        <v>45735</v>
      </c>
      <c r="G6" s="2">
        <f t="shared" si="0"/>
        <v>45735</v>
      </c>
      <c r="H6" s="34">
        <f>I5</f>
        <v>45735</v>
      </c>
      <c r="I6" s="33">
        <f t="shared" si="1"/>
        <v>45735</v>
      </c>
      <c r="J6" s="9" t="str">
        <f t="shared" si="2"/>
        <v>EM DIA</v>
      </c>
    </row>
    <row r="7" spans="2:10" ht="45" x14ac:dyDescent="0.25">
      <c r="B7" s="45" t="s">
        <v>38</v>
      </c>
      <c r="C7" s="46" t="s">
        <v>15</v>
      </c>
      <c r="D7" s="1">
        <v>0</v>
      </c>
      <c r="E7" s="27">
        <v>0</v>
      </c>
      <c r="F7" s="2">
        <f>G6</f>
        <v>45735</v>
      </c>
      <c r="G7" s="2">
        <f t="shared" si="0"/>
        <v>45735</v>
      </c>
      <c r="H7" s="34">
        <f>I6</f>
        <v>45735</v>
      </c>
      <c r="I7" s="33">
        <f t="shared" si="1"/>
        <v>45735</v>
      </c>
      <c r="J7" s="9" t="str">
        <f t="shared" si="2"/>
        <v>EM DIA</v>
      </c>
    </row>
    <row r="8" spans="2:10" x14ac:dyDescent="0.25">
      <c r="B8" s="45" t="s">
        <v>8</v>
      </c>
      <c r="C8" s="46" t="s">
        <v>15</v>
      </c>
      <c r="D8" s="1">
        <v>7</v>
      </c>
      <c r="E8" s="27">
        <v>7</v>
      </c>
      <c r="F8" s="2">
        <f>G7</f>
        <v>45735</v>
      </c>
      <c r="G8" s="2">
        <f t="shared" si="0"/>
        <v>45742</v>
      </c>
      <c r="H8" s="34">
        <f>I7</f>
        <v>45735</v>
      </c>
      <c r="I8" s="33">
        <f t="shared" si="1"/>
        <v>45742</v>
      </c>
      <c r="J8" s="9" t="str">
        <f t="shared" si="2"/>
        <v>EM DIA</v>
      </c>
    </row>
    <row r="9" spans="2:10" ht="15.75" thickBot="1" x14ac:dyDescent="0.3">
      <c r="B9" s="47" t="s">
        <v>9</v>
      </c>
      <c r="C9" s="48" t="s">
        <v>15</v>
      </c>
      <c r="D9" s="15">
        <v>5</v>
      </c>
      <c r="E9" s="28">
        <v>5</v>
      </c>
      <c r="F9" s="16">
        <f>G8</f>
        <v>45742</v>
      </c>
      <c r="G9" s="16">
        <f t="shared" si="0"/>
        <v>45747</v>
      </c>
      <c r="H9" s="35">
        <f>I8</f>
        <v>45742</v>
      </c>
      <c r="I9" s="36">
        <f t="shared" si="1"/>
        <v>45747</v>
      </c>
      <c r="J9" s="18" t="str">
        <f t="shared" si="2"/>
        <v>EM DIA</v>
      </c>
    </row>
    <row r="10" spans="2:10" ht="16.5" thickBot="1" x14ac:dyDescent="0.3">
      <c r="B10" s="70" t="s">
        <v>57</v>
      </c>
      <c r="C10" s="71"/>
      <c r="D10" s="71"/>
      <c r="E10" s="71"/>
      <c r="F10" s="71"/>
      <c r="G10" s="71"/>
      <c r="H10" s="71"/>
      <c r="I10" s="71"/>
      <c r="J10" s="72"/>
    </row>
    <row r="11" spans="2:10" ht="28.5" x14ac:dyDescent="0.25">
      <c r="B11" s="25" t="s">
        <v>16</v>
      </c>
      <c r="C11" s="19" t="s">
        <v>1</v>
      </c>
      <c r="D11" s="19">
        <v>15</v>
      </c>
      <c r="E11" s="29">
        <v>15</v>
      </c>
      <c r="F11" s="20">
        <f>G9</f>
        <v>45747</v>
      </c>
      <c r="G11" s="20">
        <f>F11+D11</f>
        <v>45762</v>
      </c>
      <c r="H11" s="37">
        <f>I9</f>
        <v>45747</v>
      </c>
      <c r="I11" s="38">
        <f>H11+E11</f>
        <v>45762</v>
      </c>
      <c r="J11" s="21" t="str">
        <f t="shared" si="2"/>
        <v>EM DIA</v>
      </c>
    </row>
    <row r="12" spans="2:10" ht="15.75" thickBot="1" x14ac:dyDescent="0.3">
      <c r="B12" s="14" t="s">
        <v>17</v>
      </c>
      <c r="C12" s="15" t="s">
        <v>1</v>
      </c>
      <c r="D12" s="15">
        <v>15</v>
      </c>
      <c r="E12" s="28">
        <v>15</v>
      </c>
      <c r="F12" s="16">
        <f>G9</f>
        <v>45747</v>
      </c>
      <c r="G12" s="16">
        <f>F12+D12</f>
        <v>45762</v>
      </c>
      <c r="H12" s="35">
        <f>I9</f>
        <v>45747</v>
      </c>
      <c r="I12" s="36">
        <f>H12+E12</f>
        <v>45762</v>
      </c>
      <c r="J12" s="18" t="str">
        <f t="shared" si="2"/>
        <v>EM DIA</v>
      </c>
    </row>
    <row r="13" spans="2:10" x14ac:dyDescent="0.25">
      <c r="B13" s="49" t="s">
        <v>51</v>
      </c>
      <c r="C13" s="67" t="s">
        <v>15</v>
      </c>
      <c r="D13" s="22">
        <v>7</v>
      </c>
      <c r="E13" s="30">
        <v>7</v>
      </c>
      <c r="F13" s="23">
        <f>IF(G12&gt;G11,G12,G11)</f>
        <v>45762</v>
      </c>
      <c r="G13" s="23">
        <f>F13+D13</f>
        <v>45769</v>
      </c>
      <c r="H13" s="39">
        <f>IF(I12&gt;I11,I12,I11)</f>
        <v>45762</v>
      </c>
      <c r="I13" s="40">
        <f>H13+E13</f>
        <v>45769</v>
      </c>
      <c r="J13" s="24" t="str">
        <f t="shared" si="2"/>
        <v>EM DIA</v>
      </c>
    </row>
    <row r="14" spans="2:10" x14ac:dyDescent="0.25">
      <c r="B14" s="50" t="s">
        <v>40</v>
      </c>
      <c r="C14" s="68"/>
      <c r="D14" s="1">
        <v>7</v>
      </c>
      <c r="E14" s="27">
        <v>7</v>
      </c>
      <c r="F14" s="2">
        <f>IF(G12&gt;G11,G12,G11)</f>
        <v>45762</v>
      </c>
      <c r="G14" s="2">
        <f t="shared" ref="G14:G19" si="3">F14+D14</f>
        <v>45769</v>
      </c>
      <c r="H14" s="34">
        <f>IF(I12&gt;I11,I12,I11)</f>
        <v>45762</v>
      </c>
      <c r="I14" s="33">
        <f t="shared" ref="I14:I18" si="4">H14+E14</f>
        <v>45769</v>
      </c>
      <c r="J14" s="9" t="str">
        <f t="shared" si="2"/>
        <v>EM DIA</v>
      </c>
    </row>
    <row r="15" spans="2:10" x14ac:dyDescent="0.25">
      <c r="B15" s="50" t="s">
        <v>39</v>
      </c>
      <c r="C15" s="68"/>
      <c r="D15" s="1">
        <v>7</v>
      </c>
      <c r="E15" s="27">
        <v>7</v>
      </c>
      <c r="F15" s="2">
        <f>IF(G12&gt;G11,G12,G11)</f>
        <v>45762</v>
      </c>
      <c r="G15" s="2">
        <f t="shared" si="3"/>
        <v>45769</v>
      </c>
      <c r="H15" s="34">
        <f>IF(I12&gt;I11,I12,I11)</f>
        <v>45762</v>
      </c>
      <c r="I15" s="33">
        <f t="shared" si="4"/>
        <v>45769</v>
      </c>
      <c r="J15" s="9" t="str">
        <f t="shared" si="2"/>
        <v>EM DIA</v>
      </c>
    </row>
    <row r="16" spans="2:10" x14ac:dyDescent="0.25">
      <c r="B16" s="50" t="s">
        <v>41</v>
      </c>
      <c r="C16" s="68"/>
      <c r="D16" s="1">
        <v>7</v>
      </c>
      <c r="E16" s="27">
        <v>7</v>
      </c>
      <c r="F16" s="2">
        <f>IF(G12&gt;G11,G12,G11)</f>
        <v>45762</v>
      </c>
      <c r="G16" s="2">
        <f t="shared" si="3"/>
        <v>45769</v>
      </c>
      <c r="H16" s="34">
        <f>IF(I12&gt;I11,I12,I11)</f>
        <v>45762</v>
      </c>
      <c r="I16" s="33">
        <f t="shared" si="4"/>
        <v>45769</v>
      </c>
      <c r="J16" s="9" t="str">
        <f t="shared" si="2"/>
        <v>EM DIA</v>
      </c>
    </row>
    <row r="17" spans="2:10" x14ac:dyDescent="0.25">
      <c r="B17" s="50" t="s">
        <v>42</v>
      </c>
      <c r="C17" s="68"/>
      <c r="D17" s="1">
        <v>7</v>
      </c>
      <c r="E17" s="27">
        <v>7</v>
      </c>
      <c r="F17" s="2">
        <f>IF(G12&gt;G11,G12,G11)</f>
        <v>45762</v>
      </c>
      <c r="G17" s="2">
        <f t="shared" si="3"/>
        <v>45769</v>
      </c>
      <c r="H17" s="34">
        <f>IF(I12&gt;I11,I12,I11)</f>
        <v>45762</v>
      </c>
      <c r="I17" s="33">
        <f t="shared" si="4"/>
        <v>45769</v>
      </c>
      <c r="J17" s="9" t="str">
        <f t="shared" si="2"/>
        <v>EM DIA</v>
      </c>
    </row>
    <row r="18" spans="2:10" ht="15.75" thickBot="1" x14ac:dyDescent="0.3">
      <c r="B18" s="51" t="s">
        <v>43</v>
      </c>
      <c r="C18" s="69"/>
      <c r="D18" s="11">
        <v>7</v>
      </c>
      <c r="E18" s="31">
        <v>7</v>
      </c>
      <c r="F18" s="12">
        <f>IF(G12&gt;G11,G12,G11)</f>
        <v>45762</v>
      </c>
      <c r="G18" s="12">
        <f t="shared" si="3"/>
        <v>45769</v>
      </c>
      <c r="H18" s="41">
        <f>IF(I12&gt;I11,I12,I11)</f>
        <v>45762</v>
      </c>
      <c r="I18" s="42">
        <f t="shared" si="4"/>
        <v>45769</v>
      </c>
      <c r="J18" s="13" t="str">
        <f t="shared" si="2"/>
        <v>EM DIA</v>
      </c>
    </row>
    <row r="19" spans="2:10" x14ac:dyDescent="0.25">
      <c r="B19" s="54" t="s">
        <v>50</v>
      </c>
      <c r="C19" s="55" t="s">
        <v>1</v>
      </c>
      <c r="D19" s="1">
        <v>3</v>
      </c>
      <c r="E19" s="27">
        <v>3</v>
      </c>
      <c r="F19" s="2">
        <f>LARGE(G13:G18,1)</f>
        <v>45769</v>
      </c>
      <c r="G19" s="2">
        <f t="shared" si="3"/>
        <v>45772</v>
      </c>
      <c r="H19" s="34">
        <f>LARGE(I13:I18,1)</f>
        <v>45769</v>
      </c>
      <c r="I19" s="33">
        <f>H19+E19</f>
        <v>45772</v>
      </c>
      <c r="J19" s="9" t="str">
        <f t="shared" ref="J19" si="5">IF(I19&gt;G19,"ATRASADO",IF(I19=G19,"EM DIA","ADIANTADO"))</f>
        <v>EM DIA</v>
      </c>
    </row>
    <row r="20" spans="2:10" x14ac:dyDescent="0.25">
      <c r="B20" s="52" t="s">
        <v>31</v>
      </c>
      <c r="C20" s="53" t="s">
        <v>15</v>
      </c>
      <c r="D20" s="19">
        <v>7</v>
      </c>
      <c r="E20" s="29">
        <v>7</v>
      </c>
      <c r="F20" s="20">
        <f>G19</f>
        <v>45772</v>
      </c>
      <c r="G20" s="20">
        <f>F20+D20</f>
        <v>45779</v>
      </c>
      <c r="H20" s="37">
        <f>I19</f>
        <v>45772</v>
      </c>
      <c r="I20" s="38">
        <f>H20+E20</f>
        <v>45779</v>
      </c>
      <c r="J20" s="21" t="str">
        <f t="shared" si="2"/>
        <v>EM DIA</v>
      </c>
    </row>
    <row r="21" spans="2:10" x14ac:dyDescent="0.25">
      <c r="B21" s="54" t="s">
        <v>32</v>
      </c>
      <c r="C21" s="55" t="s">
        <v>1</v>
      </c>
      <c r="D21" s="1">
        <v>3</v>
      </c>
      <c r="E21" s="27">
        <v>3</v>
      </c>
      <c r="F21" s="2">
        <f>G20</f>
        <v>45779</v>
      </c>
      <c r="G21" s="2">
        <f t="shared" ref="G21:G47" si="6">F21+D21</f>
        <v>45782</v>
      </c>
      <c r="H21" s="34">
        <f>I20</f>
        <v>45779</v>
      </c>
      <c r="I21" s="33">
        <f>H21+E21</f>
        <v>45782</v>
      </c>
      <c r="J21" s="9" t="str">
        <f t="shared" si="2"/>
        <v>EM DIA</v>
      </c>
    </row>
    <row r="22" spans="2:10" x14ac:dyDescent="0.25">
      <c r="B22" s="45" t="s">
        <v>10</v>
      </c>
      <c r="C22" s="46" t="s">
        <v>15</v>
      </c>
      <c r="D22" s="1">
        <v>25</v>
      </c>
      <c r="E22" s="27">
        <v>25</v>
      </c>
      <c r="F22" s="2">
        <f>G21</f>
        <v>45782</v>
      </c>
      <c r="G22" s="2">
        <f t="shared" si="6"/>
        <v>45807</v>
      </c>
      <c r="H22" s="34">
        <f>I21</f>
        <v>45782</v>
      </c>
      <c r="I22" s="33">
        <f>H22+E22</f>
        <v>45807</v>
      </c>
      <c r="J22" s="9" t="str">
        <f t="shared" si="2"/>
        <v>EM DIA</v>
      </c>
    </row>
    <row r="23" spans="2:10" x14ac:dyDescent="0.25">
      <c r="B23" s="45" t="s">
        <v>11</v>
      </c>
      <c r="C23" s="46" t="s">
        <v>15</v>
      </c>
      <c r="D23" s="1">
        <v>15</v>
      </c>
      <c r="E23" s="27">
        <v>15</v>
      </c>
      <c r="F23" s="2">
        <f>G19</f>
        <v>45772</v>
      </c>
      <c r="G23" s="2">
        <f t="shared" si="6"/>
        <v>45787</v>
      </c>
      <c r="H23" s="34">
        <f>I19</f>
        <v>45772</v>
      </c>
      <c r="I23" s="33">
        <f t="shared" ref="I23:I47" si="7">H23+E23</f>
        <v>45787</v>
      </c>
      <c r="J23" s="9" t="str">
        <f t="shared" si="2"/>
        <v>EM DIA</v>
      </c>
    </row>
    <row r="24" spans="2:10" x14ac:dyDescent="0.25">
      <c r="B24" s="56" t="s">
        <v>18</v>
      </c>
      <c r="C24" s="57" t="s">
        <v>19</v>
      </c>
      <c r="D24" s="1">
        <v>1</v>
      </c>
      <c r="E24" s="27">
        <v>1</v>
      </c>
      <c r="F24" s="2">
        <f>G22</f>
        <v>45807</v>
      </c>
      <c r="G24" s="2">
        <f t="shared" si="6"/>
        <v>45808</v>
      </c>
      <c r="H24" s="34">
        <f>I22</f>
        <v>45807</v>
      </c>
      <c r="I24" s="33">
        <f t="shared" si="7"/>
        <v>45808</v>
      </c>
      <c r="J24" s="9" t="str">
        <f t="shared" si="2"/>
        <v>EM DIA</v>
      </c>
    </row>
    <row r="25" spans="2:10" x14ac:dyDescent="0.25">
      <c r="B25" s="56" t="s">
        <v>20</v>
      </c>
      <c r="C25" s="57" t="s">
        <v>19</v>
      </c>
      <c r="D25" s="1">
        <v>1</v>
      </c>
      <c r="E25" s="27">
        <v>1</v>
      </c>
      <c r="F25" s="2">
        <f>G23</f>
        <v>45787</v>
      </c>
      <c r="G25" s="2">
        <f t="shared" si="6"/>
        <v>45788</v>
      </c>
      <c r="H25" s="34">
        <f>I23</f>
        <v>45787</v>
      </c>
      <c r="I25" s="33">
        <f t="shared" si="7"/>
        <v>45788</v>
      </c>
      <c r="J25" s="9" t="str">
        <f t="shared" si="2"/>
        <v>EM DIA</v>
      </c>
    </row>
    <row r="26" spans="2:10" x14ac:dyDescent="0.25">
      <c r="B26" s="54" t="s">
        <v>21</v>
      </c>
      <c r="C26" s="55" t="s">
        <v>1</v>
      </c>
      <c r="D26" s="1">
        <v>3</v>
      </c>
      <c r="E26" s="27">
        <v>3</v>
      </c>
      <c r="F26" s="2">
        <f>G24</f>
        <v>45808</v>
      </c>
      <c r="G26" s="2">
        <f t="shared" si="6"/>
        <v>45811</v>
      </c>
      <c r="H26" s="34">
        <f>I24</f>
        <v>45808</v>
      </c>
      <c r="I26" s="33">
        <f t="shared" si="7"/>
        <v>45811</v>
      </c>
      <c r="J26" s="9" t="str">
        <f t="shared" si="2"/>
        <v>EM DIA</v>
      </c>
    </row>
    <row r="27" spans="2:10" ht="15.75" thickBot="1" x14ac:dyDescent="0.3">
      <c r="B27" s="58" t="s">
        <v>22</v>
      </c>
      <c r="C27" s="59" t="s">
        <v>1</v>
      </c>
      <c r="D27" s="26">
        <v>3</v>
      </c>
      <c r="E27" s="32">
        <v>3</v>
      </c>
      <c r="F27" s="17">
        <f>G25</f>
        <v>45788</v>
      </c>
      <c r="G27" s="17">
        <f t="shared" si="6"/>
        <v>45791</v>
      </c>
      <c r="H27" s="36">
        <f>I25</f>
        <v>45788</v>
      </c>
      <c r="I27" s="36">
        <f t="shared" si="7"/>
        <v>45791</v>
      </c>
      <c r="J27" s="18" t="str">
        <f t="shared" si="2"/>
        <v>EM DIA</v>
      </c>
    </row>
    <row r="28" spans="2:10" ht="16.5" thickBot="1" x14ac:dyDescent="0.3">
      <c r="B28" s="70" t="s">
        <v>58</v>
      </c>
      <c r="C28" s="71"/>
      <c r="D28" s="71"/>
      <c r="E28" s="71"/>
      <c r="F28" s="71"/>
      <c r="G28" s="71"/>
      <c r="H28" s="71"/>
      <c r="I28" s="71"/>
      <c r="J28" s="72"/>
    </row>
    <row r="29" spans="2:10" x14ac:dyDescent="0.25">
      <c r="B29" s="52" t="s">
        <v>12</v>
      </c>
      <c r="C29" s="53" t="s">
        <v>15</v>
      </c>
      <c r="D29" s="19">
        <v>20</v>
      </c>
      <c r="E29" s="29">
        <v>20</v>
      </c>
      <c r="F29" s="20">
        <f>LARGE(G26:G27,1)</f>
        <v>45811</v>
      </c>
      <c r="G29" s="20">
        <f t="shared" si="6"/>
        <v>45831</v>
      </c>
      <c r="H29" s="37">
        <f>LARGE(I26:I27,1)</f>
        <v>45811</v>
      </c>
      <c r="I29" s="38">
        <f t="shared" si="7"/>
        <v>45831</v>
      </c>
      <c r="J29" s="21" t="str">
        <f t="shared" si="2"/>
        <v>EM DIA</v>
      </c>
    </row>
    <row r="30" spans="2:10" x14ac:dyDescent="0.25">
      <c r="B30" s="56" t="s">
        <v>13</v>
      </c>
      <c r="C30" s="57" t="s">
        <v>19</v>
      </c>
      <c r="D30" s="1">
        <v>5</v>
      </c>
      <c r="E30" s="27">
        <v>5</v>
      </c>
      <c r="F30" s="2">
        <f>G29</f>
        <v>45831</v>
      </c>
      <c r="G30" s="2">
        <f t="shared" si="6"/>
        <v>45836</v>
      </c>
      <c r="H30" s="34">
        <f>I29</f>
        <v>45831</v>
      </c>
      <c r="I30" s="33">
        <f t="shared" si="7"/>
        <v>45836</v>
      </c>
      <c r="J30" s="9" t="str">
        <f t="shared" si="2"/>
        <v>EM DIA</v>
      </c>
    </row>
    <row r="31" spans="2:10" x14ac:dyDescent="0.25">
      <c r="B31" s="54" t="s">
        <v>23</v>
      </c>
      <c r="C31" s="55" t="s">
        <v>1</v>
      </c>
      <c r="D31" s="1">
        <v>3</v>
      </c>
      <c r="E31" s="27">
        <v>3</v>
      </c>
      <c r="F31" s="2">
        <f>G30</f>
        <v>45836</v>
      </c>
      <c r="G31" s="2">
        <f t="shared" si="6"/>
        <v>45839</v>
      </c>
      <c r="H31" s="34">
        <f>I30</f>
        <v>45836</v>
      </c>
      <c r="I31" s="33">
        <f t="shared" si="7"/>
        <v>45839</v>
      </c>
      <c r="J31" s="9" t="str">
        <f t="shared" si="2"/>
        <v>EM DIA</v>
      </c>
    </row>
    <row r="32" spans="2:10" ht="15.75" x14ac:dyDescent="0.25">
      <c r="B32" s="64" t="s">
        <v>59</v>
      </c>
      <c r="C32" s="65"/>
      <c r="D32" s="65"/>
      <c r="E32" s="65"/>
      <c r="F32" s="65"/>
      <c r="G32" s="65"/>
      <c r="H32" s="65"/>
      <c r="I32" s="65"/>
      <c r="J32" s="66"/>
    </row>
    <row r="33" spans="2:10" x14ac:dyDescent="0.25">
      <c r="B33" s="56" t="s">
        <v>49</v>
      </c>
      <c r="C33" s="57" t="s">
        <v>19</v>
      </c>
      <c r="D33" s="1">
        <v>15</v>
      </c>
      <c r="E33" s="27">
        <v>15</v>
      </c>
      <c r="F33" s="2">
        <f>G31</f>
        <v>45839</v>
      </c>
      <c r="G33" s="2">
        <f>F33+D33</f>
        <v>45854</v>
      </c>
      <c r="H33" s="34">
        <f>I31</f>
        <v>45839</v>
      </c>
      <c r="I33" s="33">
        <f>H33+E33</f>
        <v>45854</v>
      </c>
      <c r="J33" s="9" t="str">
        <f>IF(I33&gt;G33,"ATRASADO",IF(I33=G33,"EM DIA","ADIANTADO"))</f>
        <v>EM DIA</v>
      </c>
    </row>
    <row r="34" spans="2:10" ht="45" customHeight="1" x14ac:dyDescent="0.25">
      <c r="B34" s="45" t="s">
        <v>52</v>
      </c>
      <c r="C34" s="46" t="s">
        <v>15</v>
      </c>
      <c r="D34" s="1">
        <v>5</v>
      </c>
      <c r="E34" s="27">
        <v>5</v>
      </c>
      <c r="F34" s="2">
        <f>G31</f>
        <v>45839</v>
      </c>
      <c r="G34" s="2">
        <f t="shared" si="6"/>
        <v>45844</v>
      </c>
      <c r="H34" s="34">
        <f>I31</f>
        <v>45839</v>
      </c>
      <c r="I34" s="33">
        <f t="shared" si="7"/>
        <v>45844</v>
      </c>
      <c r="J34" s="9" t="str">
        <f t="shared" si="2"/>
        <v>EM DIA</v>
      </c>
    </row>
    <row r="35" spans="2:10" x14ac:dyDescent="0.25">
      <c r="B35" s="54" t="s">
        <v>48</v>
      </c>
      <c r="C35" s="55" t="s">
        <v>1</v>
      </c>
      <c r="D35" s="1">
        <v>15</v>
      </c>
      <c r="E35" s="27">
        <v>15</v>
      </c>
      <c r="F35" s="2">
        <f>G34</f>
        <v>45844</v>
      </c>
      <c r="G35" s="2">
        <f t="shared" si="6"/>
        <v>45859</v>
      </c>
      <c r="H35" s="34">
        <f>I34</f>
        <v>45844</v>
      </c>
      <c r="I35" s="33">
        <f t="shared" si="7"/>
        <v>45859</v>
      </c>
      <c r="J35" s="9" t="str">
        <f t="shared" si="2"/>
        <v>EM DIA</v>
      </c>
    </row>
    <row r="36" spans="2:10" x14ac:dyDescent="0.25">
      <c r="B36" s="56" t="s">
        <v>25</v>
      </c>
      <c r="C36" s="57" t="s">
        <v>19</v>
      </c>
      <c r="D36" s="1">
        <v>2</v>
      </c>
      <c r="E36" s="27">
        <v>2</v>
      </c>
      <c r="F36" s="2">
        <f>G33</f>
        <v>45854</v>
      </c>
      <c r="G36" s="2">
        <f>F36+D36</f>
        <v>45856</v>
      </c>
      <c r="H36" s="34">
        <f>I33</f>
        <v>45854</v>
      </c>
      <c r="I36" s="33">
        <f>H36+E36</f>
        <v>45856</v>
      </c>
      <c r="J36" s="9" t="str">
        <f>IF(I36&gt;G36,"ATRASADO",IF(I36=G36,"EM DIA","ADIANTADO"))</f>
        <v>EM DIA</v>
      </c>
    </row>
    <row r="37" spans="2:10" x14ac:dyDescent="0.25">
      <c r="B37" s="54" t="s">
        <v>24</v>
      </c>
      <c r="C37" s="55" t="s">
        <v>1</v>
      </c>
      <c r="D37" s="1">
        <v>2</v>
      </c>
      <c r="E37" s="27">
        <v>2</v>
      </c>
      <c r="F37" s="2">
        <f>G35</f>
        <v>45859</v>
      </c>
      <c r="G37" s="2">
        <f t="shared" si="6"/>
        <v>45861</v>
      </c>
      <c r="H37" s="34">
        <f>I35</f>
        <v>45859</v>
      </c>
      <c r="I37" s="33">
        <f t="shared" si="7"/>
        <v>45861</v>
      </c>
      <c r="J37" s="9" t="str">
        <f t="shared" si="2"/>
        <v>EM DIA</v>
      </c>
    </row>
    <row r="38" spans="2:10" x14ac:dyDescent="0.25">
      <c r="B38" s="45" t="s">
        <v>45</v>
      </c>
      <c r="C38" s="46" t="s">
        <v>15</v>
      </c>
      <c r="D38" s="1">
        <v>25</v>
      </c>
      <c r="E38" s="27">
        <v>25</v>
      </c>
      <c r="F38" s="2">
        <f>LARGE(G36:G37,1)</f>
        <v>45861</v>
      </c>
      <c r="G38" s="2">
        <f t="shared" si="6"/>
        <v>45886</v>
      </c>
      <c r="H38" s="34">
        <f>LARGE(I36:I37,1)</f>
        <v>45861</v>
      </c>
      <c r="I38" s="33">
        <f t="shared" si="7"/>
        <v>45886</v>
      </c>
      <c r="J38" s="9" t="str">
        <f t="shared" si="2"/>
        <v>EM DIA</v>
      </c>
    </row>
    <row r="39" spans="2:10" x14ac:dyDescent="0.25">
      <c r="B39" s="56" t="s">
        <v>46</v>
      </c>
      <c r="C39" s="57" t="s">
        <v>19</v>
      </c>
      <c r="D39" s="1">
        <v>5</v>
      </c>
      <c r="E39" s="27">
        <v>5</v>
      </c>
      <c r="F39" s="2">
        <f>G38</f>
        <v>45886</v>
      </c>
      <c r="G39" s="2">
        <f t="shared" si="6"/>
        <v>45891</v>
      </c>
      <c r="H39" s="34">
        <f>I38</f>
        <v>45886</v>
      </c>
      <c r="I39" s="33">
        <f t="shared" si="7"/>
        <v>45891</v>
      </c>
      <c r="J39" s="9" t="str">
        <f t="shared" si="2"/>
        <v>EM DIA</v>
      </c>
    </row>
    <row r="40" spans="2:10" x14ac:dyDescent="0.25">
      <c r="B40" s="54" t="s">
        <v>26</v>
      </c>
      <c r="C40" s="55" t="s">
        <v>1</v>
      </c>
      <c r="D40" s="1">
        <v>3</v>
      </c>
      <c r="E40" s="27">
        <v>3</v>
      </c>
      <c r="F40" s="2">
        <f>G39</f>
        <v>45891</v>
      </c>
      <c r="G40" s="2">
        <f t="shared" si="6"/>
        <v>45894</v>
      </c>
      <c r="H40" s="34">
        <f>I39</f>
        <v>45891</v>
      </c>
      <c r="I40" s="33">
        <f t="shared" si="7"/>
        <v>45894</v>
      </c>
      <c r="J40" s="9" t="str">
        <f t="shared" si="2"/>
        <v>EM DIA</v>
      </c>
    </row>
    <row r="41" spans="2:10" x14ac:dyDescent="0.25">
      <c r="B41" s="45" t="s">
        <v>47</v>
      </c>
      <c r="C41" s="46" t="s">
        <v>15</v>
      </c>
      <c r="D41" s="1">
        <v>8</v>
      </c>
      <c r="E41" s="27">
        <v>8</v>
      </c>
      <c r="F41" s="2">
        <f>G40</f>
        <v>45894</v>
      </c>
      <c r="G41" s="2">
        <f t="shared" si="6"/>
        <v>45902</v>
      </c>
      <c r="H41" s="34">
        <f>I40</f>
        <v>45894</v>
      </c>
      <c r="I41" s="33">
        <f t="shared" si="7"/>
        <v>45902</v>
      </c>
      <c r="J41" s="9" t="str">
        <f t="shared" si="2"/>
        <v>EM DIA</v>
      </c>
    </row>
    <row r="42" spans="2:10" x14ac:dyDescent="0.25">
      <c r="B42" s="54" t="s">
        <v>55</v>
      </c>
      <c r="C42" s="55" t="s">
        <v>1</v>
      </c>
      <c r="D42" s="1">
        <v>1</v>
      </c>
      <c r="E42" s="27">
        <v>1</v>
      </c>
      <c r="F42" s="2">
        <f>G41</f>
        <v>45902</v>
      </c>
      <c r="G42" s="2">
        <f t="shared" si="6"/>
        <v>45903</v>
      </c>
      <c r="H42" s="34">
        <f>I41</f>
        <v>45902</v>
      </c>
      <c r="I42" s="33">
        <f t="shared" si="7"/>
        <v>45903</v>
      </c>
      <c r="J42" s="9" t="str">
        <f t="shared" si="2"/>
        <v>EM DIA</v>
      </c>
    </row>
    <row r="43" spans="2:10" x14ac:dyDescent="0.25">
      <c r="B43" s="60" t="s">
        <v>27</v>
      </c>
      <c r="C43" s="61" t="s">
        <v>28</v>
      </c>
      <c r="D43" s="1">
        <v>20</v>
      </c>
      <c r="E43" s="27">
        <v>20</v>
      </c>
      <c r="F43" s="2">
        <f>G42</f>
        <v>45903</v>
      </c>
      <c r="G43" s="2">
        <f t="shared" si="6"/>
        <v>45923</v>
      </c>
      <c r="H43" s="34">
        <f>I42</f>
        <v>45903</v>
      </c>
      <c r="I43" s="33">
        <f t="shared" si="7"/>
        <v>45923</v>
      </c>
      <c r="J43" s="9" t="str">
        <f t="shared" si="2"/>
        <v>EM DIA</v>
      </c>
    </row>
    <row r="44" spans="2:10" ht="15.75" x14ac:dyDescent="0.25">
      <c r="B44" s="64" t="s">
        <v>60</v>
      </c>
      <c r="C44" s="65"/>
      <c r="D44" s="65"/>
      <c r="E44" s="65"/>
      <c r="F44" s="65"/>
      <c r="G44" s="65"/>
      <c r="H44" s="65"/>
      <c r="I44" s="65"/>
      <c r="J44" s="66"/>
    </row>
    <row r="45" spans="2:10" x14ac:dyDescent="0.25">
      <c r="B45" s="60" t="s">
        <v>3</v>
      </c>
      <c r="C45" s="61" t="s">
        <v>28</v>
      </c>
      <c r="D45" s="1">
        <v>15</v>
      </c>
      <c r="E45" s="27">
        <v>15</v>
      </c>
      <c r="F45" s="2">
        <f>G43</f>
        <v>45923</v>
      </c>
      <c r="G45" s="2">
        <f>F45+D45</f>
        <v>45938</v>
      </c>
      <c r="H45" s="34">
        <f>I43</f>
        <v>45923</v>
      </c>
      <c r="I45" s="33">
        <f t="shared" si="7"/>
        <v>45938</v>
      </c>
      <c r="J45" s="9" t="str">
        <f t="shared" si="2"/>
        <v>EM DIA</v>
      </c>
    </row>
    <row r="46" spans="2:10" x14ac:dyDescent="0.25">
      <c r="B46" s="62" t="s">
        <v>53</v>
      </c>
      <c r="C46" s="63" t="s">
        <v>54</v>
      </c>
      <c r="D46" s="15">
        <v>15</v>
      </c>
      <c r="E46" s="28">
        <v>15</v>
      </c>
      <c r="F46" s="16">
        <f>G43</f>
        <v>45923</v>
      </c>
      <c r="G46" s="2">
        <f>F46+D46</f>
        <v>45938</v>
      </c>
      <c r="H46" s="35">
        <f>I43</f>
        <v>45923</v>
      </c>
      <c r="I46" s="33">
        <f t="shared" si="7"/>
        <v>45938</v>
      </c>
      <c r="J46" s="9" t="str">
        <f t="shared" si="2"/>
        <v>EM DIA</v>
      </c>
    </row>
    <row r="47" spans="2:10" ht="15.75" thickBot="1" x14ac:dyDescent="0.3">
      <c r="B47" s="10" t="s">
        <v>4</v>
      </c>
      <c r="C47" s="11" t="s">
        <v>29</v>
      </c>
      <c r="D47" s="11">
        <v>5</v>
      </c>
      <c r="E47" s="31">
        <v>5</v>
      </c>
      <c r="F47" s="12">
        <f>LARGE(G45:G46,1)</f>
        <v>45938</v>
      </c>
      <c r="G47" s="12">
        <f t="shared" si="6"/>
        <v>45943</v>
      </c>
      <c r="H47" s="41">
        <f>LARGE(I45:I46,1)</f>
        <v>45938</v>
      </c>
      <c r="I47" s="42">
        <f t="shared" si="7"/>
        <v>45943</v>
      </c>
      <c r="J47" s="13" t="str">
        <f t="shared" si="2"/>
        <v>EM DIA</v>
      </c>
    </row>
  </sheetData>
  <mergeCells count="6">
    <mergeCell ref="B32:J32"/>
    <mergeCell ref="B44:J44"/>
    <mergeCell ref="C13:C18"/>
    <mergeCell ref="B3:J3"/>
    <mergeCell ref="B10:J10"/>
    <mergeCell ref="B28:J28"/>
  </mergeCells>
  <conditionalFormatting sqref="C1:C1048576">
    <cfRule type="cellIs" dxfId="7" priority="1" operator="equal">
      <formula>"GPO"</formula>
    </cfRule>
    <cfRule type="cellIs" dxfId="6" priority="2" operator="equal">
      <formula>"COORDENADOR"</formula>
    </cfRule>
    <cfRule type="cellIs" dxfId="5" priority="3" operator="equal">
      <formula>"CLIENTE"</formula>
    </cfRule>
    <cfRule type="cellIs" dxfId="4" priority="4" operator="equal">
      <formula>"CONSULTOR"</formula>
    </cfRule>
    <cfRule type="cellIs" dxfId="3" priority="5" operator="equal">
      <formula>"EQUIPE COMERCIAL"</formula>
    </cfRule>
  </conditionalFormatting>
  <conditionalFormatting sqref="J4:J9 J11:J27 J29:J31 J33:J43 J45:J47">
    <cfRule type="cellIs" dxfId="2" priority="6" operator="equal">
      <formula>"ADIANTADO"</formula>
    </cfRule>
    <cfRule type="cellIs" dxfId="1" priority="7" operator="equal">
      <formula>"ATRASADO"</formula>
    </cfRule>
    <cfRule type="cellIs" dxfId="0" priority="8" operator="equal">
      <formula>"EM DIA"</formula>
    </cfRule>
  </conditionalFormatting>
  <pageMargins left="0.511811024" right="0.511811024" top="0.78740157499999996" bottom="0.78740157499999996" header="0.31496062000000002" footer="0.31496062000000002"/>
  <pageSetup paperSize="9"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</dc:creator>
  <cp:lastModifiedBy>Jhonathan Yoshiaki Namba</cp:lastModifiedBy>
  <cp:lastPrinted>2025-05-09T17:14:39Z</cp:lastPrinted>
  <dcterms:created xsi:type="dcterms:W3CDTF">2022-09-21T15:18:47Z</dcterms:created>
  <dcterms:modified xsi:type="dcterms:W3CDTF">2025-05-09T20:02:28Z</dcterms:modified>
</cp:coreProperties>
</file>